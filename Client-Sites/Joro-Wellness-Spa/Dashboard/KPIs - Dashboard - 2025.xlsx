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Dashboard" sheetId="1" r:id="rId5"/>
    <sheet state="visible" name="Dashboard July 2025" sheetId="2" r:id="rId6"/>
    <sheet state="visible" name="Ad calculator " sheetId="3" r:id="rId7"/>
    <sheet state="visible" name="Booking Calculator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tc={44df52aa-f95a-42a7-8f38-930df5b0ba53}</author>
    <author>tc={963a063b-d7c9-4aca-b6dc-cdd822419f4a}</author>
  </authors>
  <commentList>
    <comment authorId="0" xr:uid="{44df52aa-f95a-42a7-8f38-930df5b0ba53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Google Clicks - Joro outdoor spa, Joro Spa
</t>
      </text>
    </comment>
    <comment authorId="1" xr:uid="{963a063b-d7c9-4aca-b6dc-cdd822419f4a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of these reviews require responses
</t>
      </text>
    </comment>
  </commentList>
</comments>
</file>

<file path=xl/sharedStrings.xml><?xml version="1.0" encoding="utf-8"?>
<sst xmlns="http://schemas.openxmlformats.org/spreadsheetml/2006/main" count="97" uniqueCount="91">
  <si>
    <t>Measurable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</si>
  <si>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</si>
  <si>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</si>
  <si>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</si>
  <si>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</si>
  <si>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</si>
  <si>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</si>
  <si>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</si>
  <si>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</si>
  <si>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Avg per month</t>
  </si>
  <si>
    <t>Comments</t>
  </si>
  <si>
    <t>Marketing &amp; Awareness</t>
  </si>
  <si>
    <t>Web Sessions</t>
  </si>
  <si>
    <t>Web Conversion Rate</t>
  </si>
  <si>
    <t>% of visitors clicking "Book Now"</t>
  </si>
  <si>
    <t>Booking Click Conversion</t>
  </si>
  <si>
    <t>Conversion VS Bookings</t>
  </si>
  <si>
    <t>Total booking vs total booking button clicks</t>
  </si>
  <si>
    <t>IG Followers</t>
  </si>
  <si>
    <t>IG % Growth</t>
  </si>
  <si>
    <t>IG views</t>
  </si>
  <si>
    <t>IG Interactions</t>
  </si>
  <si>
    <t>FB Follower</t>
  </si>
  <si>
    <t>FB % Growth</t>
  </si>
  <si>
    <t>FB interactions</t>
  </si>
  <si>
    <t>Newletter Subs</t>
  </si>
  <si>
    <t>Google "Outdoor Spa On."</t>
  </si>
  <si>
    <t>66 - USA</t>
  </si>
  <si>
    <t>29 - 43</t>
  </si>
  <si>
    <t>Ranking in Google search Console "Outdoor Spa Ontario"</t>
  </si>
  <si>
    <t>Sales &amp; Sessions</t>
  </si>
  <si>
    <t>Total Bookings</t>
  </si>
  <si>
    <t>Total bookings made during month</t>
  </si>
  <si>
    <t>Total Sessions</t>
  </si>
  <si>
    <t>Time Slots filled by any group of people</t>
  </si>
  <si>
    <t>Totals Guests</t>
  </si>
  <si>
    <t>Time Slots filled by person</t>
  </si>
  <si>
    <t>YOY - Guests</t>
  </si>
  <si>
    <t>Guests mom % Change</t>
  </si>
  <si>
    <t>YOY - Growth %</t>
  </si>
  <si>
    <t xml:space="preserve">Total Sessions Available </t>
  </si>
  <si>
    <t>Occupancy Rate</t>
  </si>
  <si>
    <t>Sessions Offered vs Full</t>
  </si>
  <si>
    <t>Package Sales</t>
  </si>
  <si>
    <t>Average Booking Value</t>
  </si>
  <si>
    <t>Customer Experience</t>
  </si>
  <si>
    <t>Google review count</t>
  </si>
  <si>
    <t>Every review needs a response to impact SEO</t>
  </si>
  <si>
    <t>Google Rating</t>
  </si>
  <si>
    <t>Referral Rate</t>
  </si>
  <si>
    <t>Running Club or any other Promo - Back end page</t>
  </si>
  <si>
    <t>Campaigns</t>
  </si>
  <si>
    <t>Nov 1 - 10</t>
  </si>
  <si>
    <t>None</t>
  </si>
  <si>
    <t>Campaign Bookings</t>
  </si>
  <si>
    <t>During Promo Period Only</t>
  </si>
  <si>
    <t>Booking Value</t>
  </si>
  <si>
    <t>Total Ads Spent</t>
  </si>
  <si>
    <t>Campaign ROAS</t>
  </si>
  <si>
    <t>Rev  / Cost of Campaign</t>
  </si>
  <si>
    <t>Cost per new customer</t>
  </si>
  <si>
    <t>Ad Spend / new customers</t>
  </si>
  <si>
    <t>Comminity and Brand</t>
  </si>
  <si>
    <t>Local Collaborators</t>
  </si>
  <si>
    <t>Wellness event attendees</t>
  </si>
  <si>
    <t>Running Club weekly totals</t>
  </si>
  <si>
    <t>News, Blogs, Other collabs</t>
  </si>
  <si>
    <t>Brand Search Lift</t>
  </si>
  <si>
    <t>What is the increase in "Joro Spa" Traffic</t>
  </si>
  <si>
    <t>Internal Ops</t>
  </si>
  <si>
    <t>Downtime Days</t>
  </si>
  <si>
    <t>Downtime Hours</t>
  </si>
  <si>
    <t>Staffing Hours</t>
  </si>
  <si>
    <t>Are People Reading the Story?</t>
  </si>
  <si>
    <t>July 21st</t>
  </si>
  <si>
    <t>Are People Reading the Experience / FAQ's?</t>
  </si>
  <si>
    <t>YTD - July 21st</t>
  </si>
  <si>
    <t>Aug 8th</t>
  </si>
  <si>
    <t>https://www.keyword-tools.org/en/google-ranking-live-check/</t>
  </si>
  <si>
    <t>Currently on Page 4 of Duck duck go "Outdoor Spa Ontario"</t>
  </si>
  <si>
    <t>Day 1</t>
  </si>
  <si>
    <t>Day 2</t>
  </si>
  <si>
    <t>Day 3</t>
  </si>
  <si>
    <t>Day 4</t>
  </si>
  <si>
    <t>Day 5</t>
  </si>
  <si>
    <t>Total $</t>
  </si>
  <si>
    <t xml:space="preserve">Ad 1 </t>
  </si>
  <si>
    <t>Ad 2</t>
  </si>
  <si>
    <t xml:space="preserve">Bookings </t>
  </si>
  <si>
    <t>Guests</t>
  </si>
  <si>
    <t>Monthly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</si>
</sst>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7">
    <font>
      <sz val="10.0"/>
      <color rgb="FF000000"/>
      <name val="Arial"/>
      <scheme val="minor"/>
    </font>
    <font>
      <b/>
      <sz val="12.0"/>
      <color theme="1"/>
      <name val="Montserrat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4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4" fontId="3" numFmtId="9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Alignment="1" applyFont="1">
      <alignment horizontal="center"/>
    </xf>
    <xf borderId="0" fillId="5" fontId="3" numFmtId="3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0" xfId="0" applyFont="1"/>
    <xf borderId="0" fillId="5" fontId="3" numFmtId="9" xfId="0" applyAlignment="1" applyFont="1" applyNumberFormat="1">
      <alignment horizontal="center"/>
    </xf>
    <xf borderId="0" fillId="5" fontId="3" numFmtId="9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horizontal="center"/>
    </xf>
    <xf borderId="0" fillId="3" fontId="3" numFmtId="0" xfId="0" applyFont="1"/>
    <xf borderId="0" fillId="3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10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10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9.png"/><Relationship Id="rId7" Type="http://schemas.openxmlformats.org/officeDocument/2006/relationships/image" Target="../media/image1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76</xdr:row>
      <xdr:rowOff>95250</xdr:rowOff>
    </xdr:from>
    <xdr:ext cx="15401925" cy="8667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15211425" cy="6953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89</xdr:row>
      <xdr:rowOff>200025</xdr:rowOff>
    </xdr:from>
    <xdr:ext cx="15049500" cy="76962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130</xdr:row>
      <xdr:rowOff>200025</xdr:rowOff>
    </xdr:from>
    <xdr:ext cx="14820900" cy="67151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165</xdr:row>
      <xdr:rowOff>200025</xdr:rowOff>
    </xdr:from>
    <xdr:ext cx="15049500" cy="712470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204</xdr:row>
      <xdr:rowOff>200025</xdr:rowOff>
    </xdr:from>
    <xdr:ext cx="15144750" cy="84867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8810625" cy="246697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1200150</xdr:colOff>
      <xdr:row>0</xdr:row>
      <xdr:rowOff>0</xdr:rowOff>
    </xdr:from>
    <xdr:ext cx="2162175" cy="1390650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1638300</xdr:colOff>
      <xdr:row>284</xdr:row>
      <xdr:rowOff>200025</xdr:rowOff>
    </xdr:from>
    <xdr:ext cx="14087475" cy="6410325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1638300</xdr:colOff>
      <xdr:row>319</xdr:row>
      <xdr:rowOff>200025</xdr:rowOff>
    </xdr:from>
    <xdr:ext cx="13763625" cy="6286500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6</xdr:row>
      <xdr:rowOff>200025</xdr:rowOff>
    </xdr:from>
    <xdr:ext cx="7981950" cy="484822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809625</xdr:colOff>
      <xdr:row>39</xdr:row>
      <xdr:rowOff>95250</xdr:rowOff>
    </xdr:from>
    <xdr:ext cx="15401925" cy="8667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5211425" cy="6953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52</xdr:row>
      <xdr:rowOff>200025</xdr:rowOff>
    </xdr:from>
    <xdr:ext cx="15049500" cy="76962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93</xdr:row>
      <xdr:rowOff>200025</xdr:rowOff>
    </xdr:from>
    <xdr:ext cx="14820900" cy="67151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128</xdr:row>
      <xdr:rowOff>200025</xdr:rowOff>
    </xdr:from>
    <xdr:ext cx="15049500" cy="7124700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167</xdr:row>
      <xdr:rowOff>200025</xdr:rowOff>
    </xdr:from>
    <xdr:ext cx="15144750" cy="8486775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8810625" cy="246697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les Harding" id="{f8ceba39-a15b-43a1-8e35-9e88dc4c143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2" dT="2025-09-02T19:28:21.00" personId="{f8ceba39-a15b-43a1-8e35-9e88dc4c143a}" id="{44df52aa-f95a-42a7-8f38-930df5b0ba53}" done="0">
    <x18tc:text xml:space="preserve">Google Clicks - Joro outdoor spa, Joro Spa</x18tc:text>
  </x18tc:threadedComment>
  <x18tc:threadedComment ref="D29" dT="2025-09-02T19:20:28.00" personId="{f8ceba39-a15b-43a1-8e35-9e88dc4c143a}" id="{963a063b-d7c9-4aca-b6dc-cdd822419f4a}" done="0">
    <x18tc:text xml:space="preserve">All of these reviews require responses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earch.google.com/search-console/performance/search-analytics?resource_id=sc-domain%3Ajorooutdoorspa.com&amp;metrics=POSITION&amp;breakdown=page&amp;num_of_months=3&amp;page=!https%3A%2F%2Fwww.jorooutdoorspa.com%2F&amp;query=!outdoor%20spa%20ontario" TargetMode="External"/><Relationship Id="rId5" Type="http://schemas.openxmlformats.org/officeDocument/2006/relationships/hyperlink" Target="https://www.keyword-tools.org/en/google-ranking-live-check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eyword-tools.org/en/google-ranking-live-check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5"/>
    <col customWidth="1" min="2" max="10" width="18.0"/>
    <col customWidth="1" min="11" max="11" width="40.13"/>
  </cols>
  <sheetData>
    <row r="1" ht="112.5" customHeight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>
      <c r="A3" s="4" t="s">
        <v>11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>
      <c r="A4" s="6" t="s">
        <v>12</v>
      </c>
      <c r="B4" s="7">
        <v>211.0</v>
      </c>
      <c r="C4" s="7">
        <v>750.0</v>
      </c>
      <c r="D4" s="7">
        <v>2600.0</v>
      </c>
      <c r="E4" s="7">
        <v>1100.0</v>
      </c>
      <c r="F4" s="7">
        <v>655.0</v>
      </c>
      <c r="G4" s="7">
        <v>1274.0</v>
      </c>
      <c r="H4" s="7">
        <v>713.0</v>
      </c>
      <c r="I4" s="8"/>
      <c r="J4" s="8"/>
      <c r="K4" s="8"/>
    </row>
    <row r="5">
      <c r="A5" s="6" t="s">
        <v>13</v>
      </c>
      <c r="B5" s="9">
        <f>8/B4</f>
        <v>0.03791469194</v>
      </c>
      <c r="C5" s="9">
        <f>(89+23+19+21)/C4</f>
        <v>0.2026666667</v>
      </c>
      <c r="D5" s="9">
        <f>(110+51+43+20+14+13+7+3+3+2)/D4</f>
        <v>0.1023076923</v>
      </c>
      <c r="E5" s="9">
        <f>(78+23+18+13+9+4+4)/E4</f>
        <v>0.1354545455</v>
      </c>
      <c r="F5" s="9">
        <f t="shared" ref="F5:H5" si="1">F6/F4</f>
        <v>0.1404580153</v>
      </c>
      <c r="G5" s="9">
        <f t="shared" si="1"/>
        <v>0.08477237049</v>
      </c>
      <c r="H5" s="9">
        <f t="shared" si="1"/>
        <v>0.1542776999</v>
      </c>
      <c r="I5" s="8"/>
      <c r="J5" s="8"/>
      <c r="K5" s="7" t="s">
        <v>14</v>
      </c>
    </row>
    <row r="6">
      <c r="A6" s="6" t="s">
        <v>15</v>
      </c>
      <c r="B6" s="10"/>
      <c r="C6" s="11">
        <f>89+23+19+21</f>
        <v>152</v>
      </c>
      <c r="D6" s="7">
        <f>110+51+43+20+14+13+7+3+3+2</f>
        <v>266</v>
      </c>
      <c r="E6" s="8">
        <f>78+23+18+13+9+4+4</f>
        <v>149</v>
      </c>
      <c r="F6" s="8">
        <f>43+18+13+7+5+4+2</f>
        <v>92</v>
      </c>
      <c r="G6" s="8">
        <f>55+12+11+11+8+6+4+1</f>
        <v>108</v>
      </c>
      <c r="H6" s="8">
        <f>49+20+11+10+9+4+3+2+2</f>
        <v>110</v>
      </c>
      <c r="I6" s="8"/>
      <c r="J6" s="8"/>
      <c r="K6" s="7"/>
    </row>
    <row r="7">
      <c r="A7" s="6" t="s">
        <v>16</v>
      </c>
      <c r="B7" s="12"/>
      <c r="C7" s="13">
        <f t="shared" ref="C7:H7" si="2">C18/C6</f>
        <v>0.2236842105</v>
      </c>
      <c r="D7" s="13">
        <f t="shared" si="2"/>
        <v>0.1954887218</v>
      </c>
      <c r="E7" s="13">
        <f t="shared" si="2"/>
        <v>0.4093959732</v>
      </c>
      <c r="F7" s="13">
        <f t="shared" si="2"/>
        <v>0.5217391304</v>
      </c>
      <c r="G7" s="13">
        <f t="shared" si="2"/>
        <v>0.1759259259</v>
      </c>
      <c r="H7" s="13">
        <f t="shared" si="2"/>
        <v>0.3</v>
      </c>
      <c r="I7" s="8"/>
      <c r="J7" s="8"/>
      <c r="K7" s="7" t="s">
        <v>17</v>
      </c>
    </row>
    <row r="8">
      <c r="A8" s="6" t="s">
        <v>18</v>
      </c>
      <c r="B8" s="10"/>
      <c r="C8" s="7">
        <v>1818.0</v>
      </c>
      <c r="D8" s="7">
        <v>1890.0</v>
      </c>
      <c r="E8" s="7">
        <v>1949.0</v>
      </c>
      <c r="F8" s="7">
        <v>1986.0</v>
      </c>
      <c r="G8" s="7">
        <v>1995.0</v>
      </c>
      <c r="H8" s="7">
        <v>2230.0</v>
      </c>
      <c r="I8" s="8"/>
      <c r="J8" s="8"/>
      <c r="K8" s="8"/>
    </row>
    <row r="9">
      <c r="A9" s="6" t="s">
        <v>19</v>
      </c>
      <c r="B9" s="5"/>
      <c r="C9" s="5"/>
      <c r="D9" s="13">
        <f t="shared" ref="D9:F9" si="3">(D8-C8)/C8</f>
        <v>0.0396039604</v>
      </c>
      <c r="E9" s="13">
        <f t="shared" si="3"/>
        <v>0.03121693122</v>
      </c>
      <c r="F9" s="13">
        <f t="shared" si="3"/>
        <v>0.01898409441</v>
      </c>
      <c r="G9" s="9">
        <f t="shared" ref="G9:H9" si="4">(G8-F8)/G8</f>
        <v>0.004511278195</v>
      </c>
      <c r="H9" s="9">
        <f t="shared" si="4"/>
        <v>0.1053811659</v>
      </c>
      <c r="I9" s="8"/>
      <c r="J9" s="8"/>
      <c r="K9" s="8"/>
    </row>
    <row r="10">
      <c r="A10" s="6" t="s">
        <v>20</v>
      </c>
      <c r="B10" s="5"/>
      <c r="C10" s="5"/>
      <c r="D10" s="8"/>
      <c r="E10" s="11">
        <v>37436.0</v>
      </c>
      <c r="F10" s="11">
        <v>24824.0</v>
      </c>
      <c r="G10" s="11">
        <v>27680.0</v>
      </c>
      <c r="H10" s="7">
        <v>18419.0</v>
      </c>
      <c r="I10" s="8"/>
      <c r="J10" s="8"/>
      <c r="K10" s="8"/>
    </row>
    <row r="11">
      <c r="A11" s="6" t="s">
        <v>21</v>
      </c>
      <c r="B11" s="5"/>
      <c r="C11" s="7"/>
      <c r="D11" s="7"/>
      <c r="E11" s="7">
        <v>439.0</v>
      </c>
      <c r="F11" s="7">
        <v>170.0</v>
      </c>
      <c r="G11" s="7">
        <v>247.0</v>
      </c>
      <c r="H11" s="7">
        <v>1464.0</v>
      </c>
      <c r="I11" s="8"/>
      <c r="J11" s="8"/>
      <c r="K11" s="8"/>
    </row>
    <row r="12">
      <c r="A12" s="6" t="s">
        <v>22</v>
      </c>
      <c r="B12" s="5"/>
      <c r="C12" s="7">
        <v>158.0</v>
      </c>
      <c r="D12" s="7">
        <v>179.0</v>
      </c>
      <c r="E12" s="7">
        <v>201.0</v>
      </c>
      <c r="F12" s="7">
        <v>207.0</v>
      </c>
      <c r="G12" s="7">
        <v>209.0</v>
      </c>
      <c r="H12" s="7">
        <v>269.0</v>
      </c>
      <c r="I12" s="8"/>
      <c r="J12" s="8"/>
      <c r="K12" s="8"/>
    </row>
    <row r="13">
      <c r="A13" s="6" t="s">
        <v>23</v>
      </c>
      <c r="B13" s="5"/>
      <c r="C13" s="5"/>
      <c r="D13" s="13">
        <f t="shared" ref="D13:H13" si="5">(D12-C12)/C12</f>
        <v>0.1329113924</v>
      </c>
      <c r="E13" s="13">
        <f t="shared" si="5"/>
        <v>0.1229050279</v>
      </c>
      <c r="F13" s="13">
        <f t="shared" si="5"/>
        <v>0.02985074627</v>
      </c>
      <c r="G13" s="13">
        <f t="shared" si="5"/>
        <v>0.009661835749</v>
      </c>
      <c r="H13" s="13">
        <f t="shared" si="5"/>
        <v>0.2870813397</v>
      </c>
      <c r="I13" s="8"/>
      <c r="J13" s="8"/>
      <c r="K13" s="8"/>
    </row>
    <row r="14">
      <c r="A14" s="6" t="s">
        <v>24</v>
      </c>
      <c r="B14" s="5"/>
      <c r="C14" s="5"/>
      <c r="D14" s="8"/>
      <c r="E14" s="8"/>
      <c r="F14" s="7">
        <v>64.0</v>
      </c>
      <c r="G14" s="7">
        <v>88.0</v>
      </c>
      <c r="H14" s="7">
        <v>123.0</v>
      </c>
      <c r="I14" s="8"/>
      <c r="J14" s="8"/>
      <c r="K14" s="8"/>
    </row>
    <row r="15">
      <c r="A15" s="6" t="s">
        <v>25</v>
      </c>
      <c r="B15" s="7">
        <v>22.0</v>
      </c>
      <c r="C15" s="7">
        <v>24.0</v>
      </c>
      <c r="D15" s="7">
        <v>29.0</v>
      </c>
      <c r="E15" s="7">
        <v>30.0</v>
      </c>
      <c r="F15" s="7">
        <v>31.0</v>
      </c>
      <c r="G15" s="7">
        <v>31.0</v>
      </c>
      <c r="H15" s="7">
        <v>31.0</v>
      </c>
      <c r="I15" s="8"/>
      <c r="J15" s="8"/>
      <c r="K15" s="8"/>
    </row>
    <row r="16">
      <c r="A16" s="14" t="s">
        <v>26</v>
      </c>
      <c r="B16" s="7">
        <v>0.0</v>
      </c>
      <c r="C16" s="7" t="s">
        <v>27</v>
      </c>
      <c r="D16" s="7" t="s">
        <v>28</v>
      </c>
      <c r="E16" s="7">
        <v>22.7</v>
      </c>
      <c r="F16" s="7">
        <v>16.2</v>
      </c>
      <c r="G16" s="7">
        <v>12.3</v>
      </c>
      <c r="H16" s="7">
        <v>10.7</v>
      </c>
      <c r="I16" s="8"/>
      <c r="J16" s="8"/>
      <c r="K16" s="7" t="s">
        <v>29</v>
      </c>
    </row>
    <row r="17">
      <c r="A17" s="4" t="s">
        <v>30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>
      <c r="A18" s="6" t="s">
        <v>31</v>
      </c>
      <c r="B18" s="5"/>
      <c r="C18" s="7">
        <v>34.0</v>
      </c>
      <c r="D18" s="7">
        <v>52.0</v>
      </c>
      <c r="E18" s="7">
        <v>61.0</v>
      </c>
      <c r="F18" s="7">
        <v>48.0</v>
      </c>
      <c r="G18" s="7">
        <v>19.0</v>
      </c>
      <c r="H18" s="7">
        <v>33.0</v>
      </c>
      <c r="I18" s="8"/>
      <c r="J18" s="8"/>
      <c r="K18" s="7" t="s">
        <v>32</v>
      </c>
    </row>
    <row r="19">
      <c r="A19" s="6" t="s">
        <v>33</v>
      </c>
      <c r="B19" s="5"/>
      <c r="C19" s="7">
        <v>24.0</v>
      </c>
      <c r="D19" s="7">
        <v>41.0</v>
      </c>
      <c r="E19" s="7">
        <v>67.0</v>
      </c>
      <c r="F19" s="7">
        <v>42.0</v>
      </c>
      <c r="G19" s="7">
        <v>19.0</v>
      </c>
      <c r="H19" s="7">
        <v>12.0</v>
      </c>
      <c r="I19" s="8"/>
      <c r="J19" s="8"/>
      <c r="K19" s="7" t="s">
        <v>34</v>
      </c>
    </row>
    <row r="20">
      <c r="A20" s="6" t="s">
        <v>35</v>
      </c>
      <c r="B20" s="5"/>
      <c r="C20" s="7">
        <v>71.0</v>
      </c>
      <c r="D20" s="7">
        <v>98.0</v>
      </c>
      <c r="E20" s="7">
        <v>124.0</v>
      </c>
      <c r="F20" s="7">
        <v>125.0</v>
      </c>
      <c r="G20" s="7">
        <v>53.0</v>
      </c>
      <c r="H20" s="7">
        <v>28.0</v>
      </c>
      <c r="I20" s="8"/>
      <c r="J20" s="8"/>
      <c r="K20" s="7" t="s">
        <v>36</v>
      </c>
    </row>
    <row r="21">
      <c r="A21" s="15" t="s">
        <v>37</v>
      </c>
      <c r="B21" s="16"/>
      <c r="C21" s="17">
        <v>37.0</v>
      </c>
      <c r="D21" s="17">
        <v>76.0</v>
      </c>
      <c r="E21" s="18">
        <v>51.0</v>
      </c>
      <c r="F21" s="18">
        <v>50.0</v>
      </c>
      <c r="G21" s="18">
        <v>28.0</v>
      </c>
      <c r="H21" s="18">
        <v>10.0</v>
      </c>
      <c r="I21" s="16"/>
      <c r="J21" s="16"/>
      <c r="K21" s="18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6" t="s">
        <v>38</v>
      </c>
      <c r="B22" s="5"/>
      <c r="C22" s="5"/>
      <c r="D22" s="13">
        <f t="shared" ref="D22:H22" si="6">(D20-C20)/C20</f>
        <v>0.3802816901</v>
      </c>
      <c r="E22" s="13">
        <f t="shared" si="6"/>
        <v>0.2653061224</v>
      </c>
      <c r="F22" s="13">
        <f t="shared" si="6"/>
        <v>0.008064516129</v>
      </c>
      <c r="G22" s="13">
        <f t="shared" si="6"/>
        <v>-0.576</v>
      </c>
      <c r="H22" s="13">
        <f t="shared" si="6"/>
        <v>-0.4716981132</v>
      </c>
      <c r="I22" s="13"/>
      <c r="J22" s="8"/>
      <c r="K22" s="7"/>
    </row>
    <row r="23">
      <c r="A23" s="15" t="s">
        <v>39</v>
      </c>
      <c r="B23" s="16"/>
      <c r="C23" s="20">
        <f t="shared" ref="C23:H23" si="7">(C20-C21)/C21</f>
        <v>0.9189189189</v>
      </c>
      <c r="D23" s="20">
        <f t="shared" si="7"/>
        <v>0.2894736842</v>
      </c>
      <c r="E23" s="20">
        <f t="shared" si="7"/>
        <v>1.431372549</v>
      </c>
      <c r="F23" s="20">
        <f t="shared" si="7"/>
        <v>1.5</v>
      </c>
      <c r="G23" s="20">
        <f t="shared" si="7"/>
        <v>0.8928571429</v>
      </c>
      <c r="H23" s="20">
        <f t="shared" si="7"/>
        <v>1.8</v>
      </c>
      <c r="I23" s="21">
        <v>1.14</v>
      </c>
      <c r="J23" s="16"/>
      <c r="K23" s="18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6" t="s">
        <v>40</v>
      </c>
      <c r="B24" s="5"/>
      <c r="C24" s="8">
        <f t="shared" ref="C24:D24" si="8">8*31</f>
        <v>248</v>
      </c>
      <c r="D24" s="8">
        <f t="shared" si="8"/>
        <v>248</v>
      </c>
      <c r="E24" s="8">
        <f>7*31</f>
        <v>217</v>
      </c>
      <c r="F24" s="8">
        <f>8*31</f>
        <v>248</v>
      </c>
      <c r="G24" s="8">
        <f>7*31</f>
        <v>217</v>
      </c>
      <c r="H24" s="8">
        <f>8*31</f>
        <v>248</v>
      </c>
      <c r="I24" s="8"/>
      <c r="J24" s="8"/>
      <c r="K24" s="7"/>
    </row>
    <row r="25">
      <c r="A25" s="6" t="s">
        <v>41</v>
      </c>
      <c r="B25" s="5"/>
      <c r="C25" s="13">
        <f t="shared" ref="C25:H25" si="9">C19/C24</f>
        <v>0.09677419355</v>
      </c>
      <c r="D25" s="13">
        <f t="shared" si="9"/>
        <v>0.1653225806</v>
      </c>
      <c r="E25" s="13">
        <f t="shared" si="9"/>
        <v>0.3087557604</v>
      </c>
      <c r="F25" s="13">
        <f t="shared" si="9"/>
        <v>0.1693548387</v>
      </c>
      <c r="G25" s="13">
        <f t="shared" si="9"/>
        <v>0.08755760369</v>
      </c>
      <c r="H25" s="13">
        <f t="shared" si="9"/>
        <v>0.04838709677</v>
      </c>
      <c r="I25" s="8"/>
      <c r="J25" s="13">
        <f>AVERAGE(C25:I25)</f>
        <v>0.1460253456</v>
      </c>
      <c r="K25" s="7" t="s">
        <v>42</v>
      </c>
    </row>
    <row r="26">
      <c r="A26" s="6" t="s">
        <v>43</v>
      </c>
      <c r="B26" s="5"/>
      <c r="C26" s="8"/>
      <c r="D26" s="7">
        <v>0.0</v>
      </c>
      <c r="E26" s="7">
        <v>0.0</v>
      </c>
      <c r="F26" s="7">
        <v>0.0</v>
      </c>
      <c r="G26" s="7">
        <v>0.0</v>
      </c>
      <c r="H26" s="7">
        <v>6.0</v>
      </c>
      <c r="I26" s="8"/>
      <c r="J26" s="8"/>
      <c r="K26" s="8"/>
    </row>
    <row r="27">
      <c r="A27" s="6" t="s">
        <v>44</v>
      </c>
      <c r="B27" s="5"/>
      <c r="C27" s="8"/>
      <c r="D27" s="7">
        <v>54.95</v>
      </c>
      <c r="E27" s="22">
        <f>6260.5/E20</f>
        <v>50.48790323</v>
      </c>
      <c r="F27" s="8"/>
      <c r="G27" s="23">
        <f>2637.65/G20</f>
        <v>49.76698113</v>
      </c>
      <c r="H27" s="8"/>
      <c r="I27" s="8"/>
      <c r="J27" s="8"/>
      <c r="K27" s="8"/>
    </row>
    <row r="28">
      <c r="A28" s="4" t="s">
        <v>45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>
      <c r="A29" s="6" t="s">
        <v>46</v>
      </c>
      <c r="B29" s="5"/>
      <c r="C29" s="7">
        <v>16.0</v>
      </c>
      <c r="D29" s="7">
        <v>19.0</v>
      </c>
      <c r="E29" s="7">
        <v>20.0</v>
      </c>
      <c r="F29" s="8"/>
      <c r="G29" s="7">
        <v>29.0</v>
      </c>
      <c r="H29" s="7">
        <v>29.0</v>
      </c>
      <c r="I29" s="8"/>
      <c r="J29" s="8"/>
      <c r="K29" s="7" t="s">
        <v>47</v>
      </c>
    </row>
    <row r="30">
      <c r="A30" s="6" t="s">
        <v>48</v>
      </c>
      <c r="B30" s="5"/>
      <c r="C30" s="7">
        <v>5.0</v>
      </c>
      <c r="D30" s="7">
        <v>5.0</v>
      </c>
      <c r="E30" s="7">
        <v>5.0</v>
      </c>
      <c r="F30" s="8"/>
      <c r="G30" s="7">
        <v>5.0</v>
      </c>
      <c r="H30" s="7">
        <v>5.0</v>
      </c>
      <c r="I30" s="8"/>
      <c r="J30" s="8"/>
      <c r="K30" s="24"/>
    </row>
    <row r="31">
      <c r="A31" s="6" t="s">
        <v>49</v>
      </c>
      <c r="B31" s="5"/>
      <c r="C31" s="5"/>
      <c r="E31" s="5"/>
      <c r="F31" s="8"/>
      <c r="G31" s="8"/>
      <c r="H31" s="8"/>
      <c r="I31" s="8"/>
      <c r="J31" s="8"/>
      <c r="K31" s="24" t="s">
        <v>50</v>
      </c>
    </row>
    <row r="32">
      <c r="A32" s="4" t="s">
        <v>51</v>
      </c>
      <c r="B32" s="5"/>
      <c r="C32" s="5"/>
      <c r="D32" s="5"/>
      <c r="E32" s="5"/>
      <c r="F32" s="5"/>
      <c r="G32" s="10" t="s">
        <v>52</v>
      </c>
      <c r="H32" s="10" t="s">
        <v>53</v>
      </c>
      <c r="I32" s="5"/>
      <c r="J32" s="5"/>
      <c r="K32" s="5"/>
    </row>
    <row r="33">
      <c r="A33" s="6" t="s">
        <v>54</v>
      </c>
      <c r="B33" s="7">
        <v>0.0</v>
      </c>
      <c r="C33" s="7">
        <v>0.0</v>
      </c>
      <c r="D33" s="8">
        <f>6+5+2+6+4+2+1+1+7</f>
        <v>34</v>
      </c>
      <c r="E33" s="8">
        <f>33+9</f>
        <v>42</v>
      </c>
      <c r="F33" s="8"/>
      <c r="G33" s="8"/>
      <c r="H33" s="7">
        <v>0.0</v>
      </c>
      <c r="I33" s="8"/>
      <c r="J33" s="8"/>
      <c r="K33" s="7" t="s">
        <v>55</v>
      </c>
    </row>
    <row r="34">
      <c r="A34" s="6" t="s">
        <v>56</v>
      </c>
      <c r="B34" s="7"/>
      <c r="C34" s="7"/>
      <c r="D34" s="22">
        <f t="shared" ref="D34:E34" si="10">D27*D33</f>
        <v>1868.3</v>
      </c>
      <c r="E34" s="22">
        <f t="shared" si="10"/>
        <v>2120.491935</v>
      </c>
      <c r="F34" s="8"/>
      <c r="G34" s="8"/>
      <c r="H34" s="7">
        <v>0.0</v>
      </c>
      <c r="I34" s="8"/>
      <c r="J34" s="8"/>
      <c r="K34" s="7"/>
    </row>
    <row r="35">
      <c r="A35" s="6" t="s">
        <v>57</v>
      </c>
      <c r="B35" s="7">
        <v>0.0</v>
      </c>
      <c r="C35" s="7">
        <v>0.0</v>
      </c>
      <c r="D35" s="22">
        <f>46.2+144.83</f>
        <v>191.03</v>
      </c>
      <c r="E35" s="7">
        <v>171.36</v>
      </c>
      <c r="F35" s="8"/>
      <c r="G35" s="7">
        <v>168.51</v>
      </c>
      <c r="H35" s="7">
        <v>0.0</v>
      </c>
      <c r="I35" s="8"/>
      <c r="J35" s="8"/>
      <c r="K35" s="7"/>
    </row>
    <row r="36">
      <c r="A36" s="6" t="s">
        <v>58</v>
      </c>
      <c r="B36" s="7">
        <v>0.0</v>
      </c>
      <c r="C36" s="7">
        <v>0.0</v>
      </c>
      <c r="D36" s="25">
        <f t="shared" ref="D36:E36" si="11">D34/D35</f>
        <v>9.780139245</v>
      </c>
      <c r="E36" s="25">
        <f t="shared" si="11"/>
        <v>12.37448608</v>
      </c>
      <c r="F36" s="8"/>
      <c r="G36" s="8"/>
      <c r="H36" s="7">
        <v>0.0</v>
      </c>
      <c r="I36" s="8"/>
      <c r="J36" s="8"/>
      <c r="K36" s="7" t="s">
        <v>59</v>
      </c>
    </row>
    <row r="37">
      <c r="A37" s="6" t="s">
        <v>60</v>
      </c>
      <c r="B37" s="7">
        <v>0.0</v>
      </c>
      <c r="C37" s="7">
        <v>0.0</v>
      </c>
      <c r="D37" s="23">
        <f t="shared" ref="D37:E37" si="12">D35/D33</f>
        <v>5.618529412</v>
      </c>
      <c r="E37" s="8">
        <f t="shared" si="12"/>
        <v>4.08</v>
      </c>
      <c r="F37" s="8"/>
      <c r="G37" s="8"/>
      <c r="H37" s="7">
        <v>0.0</v>
      </c>
      <c r="I37" s="8"/>
      <c r="J37" s="8"/>
      <c r="K37" s="7" t="s">
        <v>61</v>
      </c>
    </row>
    <row r="38">
      <c r="A38" s="4" t="s">
        <v>62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>
      <c r="A39" s="6" t="s">
        <v>63</v>
      </c>
      <c r="B39" s="5"/>
      <c r="C39" s="5"/>
      <c r="D39" s="7">
        <v>0.0</v>
      </c>
      <c r="E39" s="7">
        <v>0.0</v>
      </c>
      <c r="F39" s="7">
        <v>0.0</v>
      </c>
      <c r="G39" s="7">
        <v>0.0</v>
      </c>
      <c r="H39" s="7">
        <v>2.0</v>
      </c>
      <c r="I39" s="8"/>
      <c r="J39" s="8"/>
      <c r="K39" s="8"/>
    </row>
    <row r="40">
      <c r="A40" s="6" t="s">
        <v>64</v>
      </c>
      <c r="B40" s="5"/>
      <c r="C40" s="5"/>
      <c r="D40" s="8"/>
      <c r="E40" s="8"/>
      <c r="F40" s="8"/>
      <c r="G40" s="8"/>
      <c r="H40" s="8"/>
      <c r="I40" s="8"/>
      <c r="J40" s="8"/>
      <c r="K40" s="7" t="s">
        <v>65</v>
      </c>
    </row>
    <row r="41">
      <c r="A41" s="6" t="s">
        <v>66</v>
      </c>
      <c r="B41" s="5"/>
      <c r="C41" s="5"/>
      <c r="D41" s="8"/>
      <c r="E41" s="8"/>
      <c r="F41" s="8"/>
      <c r="G41" s="8"/>
      <c r="H41" s="8"/>
      <c r="I41" s="8"/>
      <c r="J41" s="8"/>
      <c r="K41" s="8"/>
    </row>
    <row r="42">
      <c r="A42" s="6" t="s">
        <v>67</v>
      </c>
      <c r="B42" s="8"/>
      <c r="C42" s="8"/>
      <c r="D42" s="8">
        <f>71+25</f>
        <v>96</v>
      </c>
      <c r="E42" s="7">
        <f>58+48</f>
        <v>106</v>
      </c>
      <c r="F42" s="8">
        <f>42+17</f>
        <v>59</v>
      </c>
      <c r="G42" s="8">
        <f>38+25</f>
        <v>63</v>
      </c>
      <c r="H42" s="8">
        <f>26+25+9</f>
        <v>60</v>
      </c>
      <c r="I42" s="8"/>
      <c r="J42" s="8"/>
      <c r="K42" s="7" t="s">
        <v>68</v>
      </c>
    </row>
    <row r="43">
      <c r="A43" s="4" t="s">
        <v>69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>
      <c r="A44" s="6" t="s">
        <v>70</v>
      </c>
      <c r="B44" s="5"/>
      <c r="C44" s="5"/>
      <c r="D44" s="8"/>
      <c r="E44" s="8"/>
      <c r="F44" s="8"/>
      <c r="G44" s="8"/>
      <c r="H44" s="8"/>
      <c r="I44" s="8"/>
      <c r="J44" s="8"/>
      <c r="K44" s="8"/>
    </row>
    <row r="45">
      <c r="A45" s="6" t="s">
        <v>71</v>
      </c>
      <c r="B45" s="5"/>
      <c r="C45" s="5"/>
      <c r="D45" s="8"/>
      <c r="E45" s="8"/>
      <c r="F45" s="8"/>
      <c r="G45" s="8"/>
      <c r="H45" s="8"/>
      <c r="I45" s="8"/>
      <c r="J45" s="8"/>
      <c r="K45" s="8"/>
    </row>
    <row r="46">
      <c r="A46" s="6" t="s">
        <v>72</v>
      </c>
      <c r="B46" s="5"/>
      <c r="C46" s="5"/>
      <c r="D46" s="8"/>
      <c r="E46" s="8"/>
      <c r="F46" s="8"/>
      <c r="G46" s="8"/>
      <c r="H46" s="8"/>
      <c r="I46" s="8"/>
      <c r="J46" s="8"/>
      <c r="K46" s="8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>
      <c r="B48" s="8"/>
      <c r="C48" s="8"/>
      <c r="D48" s="8"/>
      <c r="E48" s="8"/>
      <c r="F48" s="8"/>
      <c r="G48" s="8"/>
      <c r="H48" s="8"/>
      <c r="I48" s="8"/>
      <c r="J48" s="8"/>
      <c r="K48" s="8"/>
    </row>
    <row r="49">
      <c r="B49" s="8"/>
      <c r="C49" s="8"/>
      <c r="D49" s="8"/>
      <c r="E49" s="8"/>
      <c r="F49" s="8"/>
      <c r="G49" s="8"/>
      <c r="H49" s="8"/>
      <c r="I49" s="8"/>
      <c r="J49" s="8"/>
      <c r="K49" s="8"/>
    </row>
    <row r="50">
      <c r="B50" s="8"/>
      <c r="C50" s="8"/>
      <c r="D50" s="8"/>
      <c r="E50" s="8"/>
      <c r="F50" s="8"/>
      <c r="G50" s="8"/>
      <c r="H50" s="8"/>
      <c r="I50" s="8"/>
      <c r="J50" s="8"/>
      <c r="K50" s="8"/>
    </row>
    <row r="51">
      <c r="B51" s="8"/>
      <c r="C51" s="8"/>
      <c r="D51" s="8"/>
      <c r="E51" s="8"/>
      <c r="F51" s="8"/>
      <c r="G51" s="8"/>
      <c r="H51" s="8"/>
      <c r="I51" s="8"/>
      <c r="J51" s="8"/>
      <c r="K51" s="8"/>
    </row>
    <row r="52">
      <c r="B52" s="8"/>
      <c r="C52" s="8"/>
      <c r="D52" s="8"/>
      <c r="E52" s="8"/>
      <c r="F52" s="8"/>
      <c r="G52" s="8"/>
      <c r="H52" s="8"/>
      <c r="I52" s="8"/>
      <c r="J52" s="8"/>
      <c r="K52" s="8"/>
    </row>
    <row r="53">
      <c r="B53" s="8"/>
      <c r="C53" s="8"/>
      <c r="D53" s="8"/>
      <c r="E53" s="8"/>
      <c r="F53" s="8"/>
      <c r="G53" s="8"/>
      <c r="H53" s="8"/>
      <c r="I53" s="8"/>
      <c r="J53" s="8"/>
      <c r="K53" s="8"/>
    </row>
    <row r="54">
      <c r="B54" s="8"/>
      <c r="C54" s="8"/>
      <c r="D54" s="8"/>
      <c r="E54" s="8"/>
      <c r="F54" s="8"/>
      <c r="G54" s="8"/>
      <c r="H54" s="8"/>
      <c r="I54" s="8"/>
      <c r="J54" s="8"/>
      <c r="K54" s="8"/>
    </row>
    <row r="55">
      <c r="B55" s="8"/>
      <c r="C55" s="8"/>
      <c r="D55" s="8"/>
      <c r="E55" s="8"/>
      <c r="F55" s="8"/>
      <c r="G55" s="8"/>
      <c r="H55" s="8"/>
      <c r="I55" s="8"/>
      <c r="J55" s="8"/>
      <c r="K55" s="8"/>
    </row>
    <row r="56">
      <c r="B56" s="8"/>
      <c r="C56" s="8"/>
      <c r="D56" s="8"/>
      <c r="E56" s="8"/>
      <c r="F56" s="8"/>
      <c r="G56" s="8"/>
      <c r="H56" s="8"/>
      <c r="I56" s="8"/>
      <c r="J56" s="8"/>
      <c r="K56" s="8"/>
    </row>
    <row r="57">
      <c r="B57" s="8"/>
      <c r="C57" s="8"/>
      <c r="D57" s="8"/>
      <c r="E57" s="8"/>
      <c r="F57" s="8"/>
      <c r="G57" s="8"/>
      <c r="H57" s="8"/>
      <c r="I57" s="8"/>
      <c r="J57" s="8"/>
      <c r="K57" s="8"/>
    </row>
    <row r="58">
      <c r="B58" s="8"/>
      <c r="C58" s="8"/>
      <c r="D58" s="8"/>
      <c r="E58" s="8"/>
      <c r="F58" s="8"/>
      <c r="G58" s="8"/>
      <c r="H58" s="8"/>
      <c r="I58" s="8"/>
      <c r="J58" s="8"/>
      <c r="K58" s="8"/>
    </row>
    <row r="59">
      <c r="B59" s="8"/>
      <c r="C59" s="8"/>
      <c r="D59" s="8"/>
      <c r="E59" s="8"/>
      <c r="F59" s="8"/>
      <c r="G59" s="8"/>
      <c r="H59" s="8"/>
      <c r="I59" s="8"/>
      <c r="J59" s="8"/>
      <c r="K59" s="8"/>
    </row>
    <row r="60">
      <c r="B60" s="8"/>
      <c r="C60" s="8"/>
      <c r="D60" s="8"/>
      <c r="E60" s="8"/>
      <c r="F60" s="8"/>
      <c r="G60" s="8"/>
      <c r="H60" s="8"/>
      <c r="I60" s="8"/>
      <c r="J60" s="8"/>
      <c r="K60" s="8"/>
    </row>
    <row r="61">
      <c r="B61" s="8"/>
      <c r="C61" s="8"/>
      <c r="D61" s="8"/>
      <c r="E61" s="8"/>
      <c r="F61" s="8"/>
      <c r="G61" s="8"/>
      <c r="H61" s="8"/>
      <c r="I61" s="8"/>
      <c r="J61" s="8"/>
      <c r="K61" s="8"/>
    </row>
    <row r="62">
      <c r="B62" s="8"/>
      <c r="C62" s="8"/>
      <c r="D62" s="8"/>
      <c r="E62" s="8"/>
      <c r="F62" s="8"/>
      <c r="G62" s="8"/>
      <c r="H62" s="8"/>
      <c r="I62" s="8"/>
      <c r="J62" s="8"/>
      <c r="K62" s="8"/>
    </row>
    <row r="63">
      <c r="B63" s="8"/>
      <c r="C63" s="8"/>
      <c r="D63" s="8"/>
      <c r="E63" s="8"/>
      <c r="F63" s="8"/>
      <c r="G63" s="8"/>
      <c r="H63" s="8"/>
      <c r="I63" s="8"/>
      <c r="J63" s="8"/>
      <c r="K63" s="8"/>
    </row>
    <row r="64">
      <c r="B64" s="8"/>
      <c r="C64" s="8"/>
      <c r="D64" s="8"/>
      <c r="E64" s="8"/>
      <c r="F64" s="8"/>
      <c r="G64" s="8"/>
      <c r="H64" s="8"/>
      <c r="I64" s="8"/>
      <c r="J64" s="8"/>
      <c r="K64" s="8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</row>
    <row r="66">
      <c r="B66" s="8"/>
      <c r="C66" s="8"/>
      <c r="D66" s="8"/>
      <c r="E66" s="8"/>
      <c r="F66" s="8"/>
      <c r="G66" s="8"/>
      <c r="H66" s="8"/>
      <c r="I66" s="8"/>
      <c r="J66" s="8"/>
      <c r="K66" s="8"/>
    </row>
    <row r="67">
      <c r="B67" s="8"/>
      <c r="C67" s="8"/>
      <c r="D67" s="8"/>
      <c r="E67" s="8"/>
      <c r="F67" s="8"/>
      <c r="G67" s="8"/>
      <c r="H67" s="8"/>
      <c r="I67" s="8"/>
      <c r="J67" s="8"/>
      <c r="K67" s="8"/>
    </row>
    <row r="68">
      <c r="B68" s="8"/>
      <c r="C68" s="8"/>
      <c r="D68" s="8"/>
      <c r="E68" s="8"/>
      <c r="F68" s="8"/>
      <c r="G68" s="8"/>
      <c r="H68" s="8"/>
      <c r="I68" s="8"/>
      <c r="J68" s="8"/>
      <c r="K68" s="8"/>
    </row>
    <row r="69">
      <c r="B69" s="8"/>
      <c r="C69" s="8"/>
      <c r="D69" s="8"/>
      <c r="E69" s="8"/>
      <c r="F69" s="8"/>
      <c r="G69" s="8"/>
      <c r="H69" s="8"/>
      <c r="I69" s="8"/>
      <c r="J69" s="8"/>
      <c r="K69" s="8"/>
    </row>
    <row r="70">
      <c r="A70" s="26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B71" s="28"/>
      <c r="C71" s="28" t="s">
        <v>73</v>
      </c>
      <c r="D71" s="8"/>
      <c r="E71" s="8"/>
      <c r="F71" s="8"/>
      <c r="G71" s="8"/>
      <c r="H71" s="8"/>
      <c r="I71" s="8"/>
      <c r="J71" s="8"/>
      <c r="K71" s="8"/>
      <c r="L71" s="29" t="s">
        <v>74</v>
      </c>
    </row>
    <row r="72">
      <c r="B72" s="8"/>
      <c r="C72" s="8"/>
      <c r="D72" s="8"/>
      <c r="E72" s="8"/>
      <c r="F72" s="8"/>
      <c r="G72" s="8"/>
      <c r="H72" s="8"/>
      <c r="I72" s="8"/>
      <c r="J72" s="8"/>
      <c r="K72" s="8"/>
    </row>
    <row r="73">
      <c r="B73" s="8"/>
      <c r="C73" s="8"/>
      <c r="D73" s="8"/>
      <c r="E73" s="8"/>
      <c r="F73" s="8"/>
      <c r="G73" s="8"/>
      <c r="H73" s="8"/>
      <c r="I73" s="8"/>
      <c r="J73" s="8"/>
      <c r="K73" s="8"/>
    </row>
    <row r="74">
      <c r="B74" s="8"/>
      <c r="C74" s="8"/>
      <c r="D74" s="8"/>
      <c r="E74" s="8"/>
      <c r="F74" s="8"/>
      <c r="G74" s="8"/>
      <c r="H74" s="8"/>
      <c r="I74" s="8"/>
      <c r="J74" s="8"/>
      <c r="K74" s="8"/>
    </row>
    <row r="75">
      <c r="B75" s="8"/>
      <c r="C75" s="8"/>
      <c r="D75" s="8"/>
      <c r="E75" s="8"/>
      <c r="F75" s="8"/>
      <c r="G75" s="8"/>
      <c r="H75" s="8"/>
      <c r="I75" s="8"/>
      <c r="J75" s="8"/>
      <c r="K75" s="8"/>
    </row>
    <row r="76">
      <c r="B76" s="28"/>
      <c r="C76" s="28" t="s">
        <v>75</v>
      </c>
      <c r="D76" s="8"/>
      <c r="E76" s="8"/>
      <c r="F76" s="8"/>
      <c r="G76" s="8"/>
      <c r="H76" s="8"/>
      <c r="I76" s="8"/>
      <c r="J76" s="8"/>
      <c r="K76" s="8"/>
    </row>
    <row r="77">
      <c r="B77" s="8"/>
      <c r="C77" s="8"/>
      <c r="D77" s="8"/>
      <c r="E77" s="8"/>
      <c r="F77" s="8"/>
      <c r="G77" s="8"/>
      <c r="H77" s="8"/>
      <c r="I77" s="8"/>
      <c r="J77" s="8"/>
      <c r="K77" s="8"/>
    </row>
    <row r="78">
      <c r="B78" s="8"/>
      <c r="C78" s="8"/>
      <c r="D78" s="8"/>
      <c r="E78" s="8"/>
      <c r="F78" s="8"/>
      <c r="G78" s="8"/>
      <c r="H78" s="8"/>
      <c r="I78" s="8"/>
      <c r="J78" s="8"/>
      <c r="K78" s="8"/>
    </row>
    <row r="79">
      <c r="B79" s="8"/>
      <c r="C79" s="8"/>
      <c r="D79" s="8"/>
      <c r="E79" s="8"/>
      <c r="F79" s="8"/>
      <c r="G79" s="8"/>
      <c r="H79" s="8"/>
      <c r="I79" s="8"/>
      <c r="J79" s="8"/>
      <c r="K79" s="8"/>
    </row>
    <row r="80">
      <c r="B80" s="8"/>
      <c r="C80" s="8"/>
      <c r="D80" s="8"/>
      <c r="E80" s="8"/>
      <c r="F80" s="8"/>
      <c r="G80" s="8"/>
      <c r="H80" s="8"/>
      <c r="I80" s="8"/>
      <c r="J80" s="8"/>
      <c r="K80" s="8"/>
    </row>
    <row r="81">
      <c r="B81" s="8"/>
      <c r="C81" s="8"/>
      <c r="D81" s="8"/>
      <c r="E81" s="8"/>
      <c r="F81" s="8"/>
      <c r="G81" s="8"/>
      <c r="H81" s="8"/>
      <c r="I81" s="8"/>
      <c r="J81" s="8"/>
      <c r="K81" s="8"/>
    </row>
    <row r="82">
      <c r="B82" s="8"/>
      <c r="C82" s="8"/>
      <c r="D82" s="8"/>
      <c r="E82" s="8"/>
      <c r="F82" s="8"/>
      <c r="G82" s="8"/>
      <c r="H82" s="8"/>
      <c r="I82" s="8"/>
      <c r="J82" s="8"/>
      <c r="K82" s="8"/>
    </row>
    <row r="83">
      <c r="B83" s="8"/>
      <c r="C83" s="8"/>
      <c r="D83" s="8"/>
      <c r="E83" s="8"/>
      <c r="F83" s="8"/>
      <c r="G83" s="8"/>
      <c r="H83" s="8"/>
      <c r="I83" s="8"/>
      <c r="J83" s="8"/>
      <c r="K83" s="8"/>
    </row>
    <row r="84">
      <c r="B84" s="8"/>
      <c r="C84" s="8"/>
      <c r="D84" s="8"/>
      <c r="E84" s="8"/>
      <c r="F84" s="8"/>
      <c r="G84" s="8"/>
      <c r="H84" s="8"/>
      <c r="I84" s="8"/>
      <c r="J84" s="8"/>
      <c r="K84" s="8"/>
    </row>
    <row r="85">
      <c r="B85" s="8"/>
      <c r="C85" s="8"/>
      <c r="D85" s="8"/>
      <c r="E85" s="8"/>
      <c r="F85" s="8"/>
      <c r="G85" s="8"/>
      <c r="H85" s="8"/>
      <c r="I85" s="8"/>
      <c r="J85" s="8"/>
      <c r="K85" s="8"/>
    </row>
    <row r="86">
      <c r="B86" s="8"/>
      <c r="C86" s="8"/>
      <c r="D86" s="8"/>
      <c r="E86" s="8"/>
      <c r="F86" s="8"/>
      <c r="G86" s="8"/>
      <c r="H86" s="8"/>
      <c r="I86" s="8"/>
      <c r="J86" s="8"/>
      <c r="K86" s="8"/>
    </row>
    <row r="87">
      <c r="B87" s="8"/>
      <c r="C87" s="8"/>
      <c r="D87" s="8"/>
      <c r="E87" s="8"/>
      <c r="F87" s="8"/>
      <c r="G87" s="8"/>
      <c r="H87" s="8"/>
      <c r="I87" s="8"/>
      <c r="J87" s="8"/>
      <c r="K87" s="8"/>
    </row>
    <row r="88">
      <c r="B88" s="7"/>
      <c r="C88" s="7" t="s">
        <v>76</v>
      </c>
      <c r="D88" s="8"/>
      <c r="E88" s="8"/>
      <c r="F88" s="8"/>
      <c r="G88" s="8"/>
      <c r="H88" s="8"/>
      <c r="I88" s="8"/>
      <c r="J88" s="8"/>
      <c r="K88" s="8"/>
    </row>
    <row r="89">
      <c r="B89" s="8"/>
      <c r="C89" s="8"/>
      <c r="D89" s="8"/>
      <c r="E89" s="8"/>
      <c r="F89" s="8"/>
      <c r="G89" s="8"/>
      <c r="H89" s="8"/>
      <c r="I89" s="8"/>
      <c r="J89" s="8"/>
      <c r="K89" s="8"/>
    </row>
    <row r="90">
      <c r="B90" s="8"/>
      <c r="C90" s="8"/>
      <c r="D90" s="8"/>
      <c r="E90" s="8"/>
      <c r="F90" s="8"/>
      <c r="G90" s="8"/>
      <c r="H90" s="8"/>
      <c r="I90" s="8"/>
      <c r="J90" s="8"/>
      <c r="K90" s="8"/>
    </row>
    <row r="91">
      <c r="B91" s="8"/>
      <c r="C91" s="8"/>
      <c r="D91" s="8"/>
      <c r="E91" s="8"/>
      <c r="F91" s="8"/>
      <c r="G91" s="8"/>
      <c r="H91" s="8"/>
      <c r="I91" s="8"/>
      <c r="J91" s="8"/>
      <c r="K91" s="8"/>
    </row>
    <row r="92">
      <c r="B92" s="8"/>
      <c r="C92" s="8"/>
      <c r="D92" s="8"/>
      <c r="E92" s="8"/>
      <c r="F92" s="8"/>
      <c r="G92" s="8"/>
      <c r="H92" s="8"/>
      <c r="I92" s="8"/>
      <c r="J92" s="8"/>
      <c r="K92" s="8"/>
    </row>
    <row r="93">
      <c r="B93" s="8"/>
      <c r="C93" s="8"/>
      <c r="D93" s="8"/>
      <c r="E93" s="8"/>
      <c r="F93" s="8"/>
      <c r="G93" s="8"/>
      <c r="H93" s="8"/>
      <c r="I93" s="8"/>
      <c r="J93" s="8"/>
      <c r="K93" s="8"/>
    </row>
    <row r="94">
      <c r="B94" s="8"/>
      <c r="C94" s="8"/>
      <c r="D94" s="8"/>
      <c r="E94" s="8"/>
      <c r="F94" s="8"/>
      <c r="G94" s="8"/>
      <c r="H94" s="8"/>
      <c r="I94" s="8"/>
      <c r="J94" s="8"/>
      <c r="K94" s="8"/>
    </row>
    <row r="95">
      <c r="B95" s="8"/>
      <c r="C95" s="8"/>
      <c r="D95" s="8"/>
      <c r="E95" s="8"/>
      <c r="F95" s="8"/>
      <c r="G95" s="8"/>
      <c r="H95" s="8"/>
      <c r="I95" s="8"/>
      <c r="J95" s="8"/>
      <c r="K95" s="8"/>
    </row>
    <row r="96">
      <c r="B96" s="8"/>
      <c r="C96" s="8"/>
      <c r="D96" s="8"/>
      <c r="E96" s="8"/>
      <c r="F96" s="8"/>
      <c r="G96" s="8"/>
      <c r="H96" s="8"/>
      <c r="I96" s="8"/>
      <c r="J96" s="8"/>
      <c r="K96" s="8"/>
    </row>
    <row r="97">
      <c r="B97" s="8"/>
      <c r="C97" s="8"/>
      <c r="D97" s="8"/>
      <c r="E97" s="8"/>
      <c r="F97" s="8"/>
      <c r="G97" s="8"/>
      <c r="H97" s="8"/>
      <c r="I97" s="8"/>
      <c r="J97" s="8"/>
      <c r="K97" s="8"/>
    </row>
    <row r="98">
      <c r="B98" s="8"/>
      <c r="C98" s="8"/>
      <c r="D98" s="8"/>
      <c r="E98" s="8"/>
      <c r="F98" s="8"/>
      <c r="G98" s="8"/>
      <c r="H98" s="8"/>
      <c r="I98" s="8"/>
      <c r="J98" s="8"/>
      <c r="K98" s="8"/>
    </row>
    <row r="99">
      <c r="B99" s="8"/>
      <c r="C99" s="8"/>
      <c r="D99" s="8"/>
      <c r="E99" s="8"/>
      <c r="F99" s="8"/>
      <c r="G99" s="8"/>
      <c r="H99" s="8"/>
      <c r="I99" s="8"/>
      <c r="J99" s="8"/>
      <c r="K99" s="8"/>
    </row>
    <row r="100"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>
      <c r="B255" s="7"/>
      <c r="C255" s="7" t="s">
        <v>77</v>
      </c>
      <c r="D255" s="8"/>
      <c r="E255" s="8"/>
      <c r="F255" s="8"/>
      <c r="G255" s="8"/>
      <c r="H255" s="8"/>
      <c r="I255" s="8"/>
      <c r="J255" s="8"/>
      <c r="K255" s="8"/>
    </row>
    <row r="256"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>
      <c r="B257" s="7"/>
      <c r="C257" s="30" t="s">
        <v>78</v>
      </c>
      <c r="D257" s="8"/>
      <c r="E257" s="8"/>
      <c r="F257" s="8"/>
      <c r="G257" s="8"/>
      <c r="H257" s="8"/>
      <c r="I257" s="8"/>
      <c r="J257" s="8"/>
      <c r="K257" s="8"/>
    </row>
    <row r="258"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>
      <c r="B1001" s="8"/>
      <c r="C1001" s="8"/>
      <c r="D1001" s="8"/>
      <c r="E1001" s="8"/>
      <c r="F1001" s="8"/>
      <c r="G1001" s="8"/>
      <c r="H1001" s="8"/>
      <c r="I1001" s="8"/>
      <c r="J1001" s="8"/>
      <c r="K1001" s="8"/>
    </row>
    <row r="1002">
      <c r="B1002" s="8"/>
      <c r="C1002" s="8"/>
      <c r="D1002" s="8"/>
      <c r="E1002" s="8"/>
      <c r="F1002" s="8"/>
      <c r="G1002" s="8"/>
      <c r="H1002" s="8"/>
      <c r="I1002" s="8"/>
      <c r="J1002" s="8"/>
      <c r="K1002" s="8"/>
    </row>
    <row r="1003">
      <c r="B1003" s="8"/>
      <c r="C1003" s="8"/>
      <c r="D1003" s="8"/>
      <c r="E1003" s="8"/>
      <c r="F1003" s="8"/>
      <c r="G1003" s="8"/>
      <c r="H1003" s="8"/>
      <c r="I1003" s="8"/>
      <c r="J1003" s="8"/>
      <c r="K1003" s="8"/>
    </row>
    <row r="1004">
      <c r="B1004" s="8"/>
      <c r="C1004" s="8"/>
      <c r="D1004" s="8"/>
      <c r="E1004" s="8"/>
      <c r="F1004" s="8"/>
      <c r="G1004" s="8"/>
      <c r="H1004" s="8"/>
      <c r="I1004" s="8"/>
      <c r="J1004" s="8"/>
      <c r="K1004" s="8"/>
    </row>
    <row r="1005">
      <c r="B1005" s="8"/>
      <c r="C1005" s="8"/>
      <c r="D1005" s="8"/>
      <c r="E1005" s="8"/>
      <c r="F1005" s="8"/>
      <c r="G1005" s="8"/>
      <c r="H1005" s="8"/>
      <c r="I1005" s="8"/>
      <c r="J1005" s="8"/>
      <c r="K1005" s="8"/>
    </row>
    <row r="1006">
      <c r="B1006" s="8"/>
      <c r="C1006" s="8"/>
      <c r="D1006" s="8"/>
      <c r="E1006" s="8"/>
      <c r="F1006" s="8"/>
      <c r="G1006" s="8"/>
      <c r="H1006" s="8"/>
      <c r="I1006" s="8"/>
      <c r="J1006" s="8"/>
      <c r="K1006" s="8"/>
    </row>
    <row r="1007">
      <c r="B1007" s="8"/>
      <c r="C1007" s="8"/>
      <c r="D1007" s="8"/>
      <c r="E1007" s="8"/>
      <c r="F1007" s="8"/>
      <c r="G1007" s="8"/>
      <c r="H1007" s="8"/>
      <c r="I1007" s="8"/>
      <c r="J1007" s="8"/>
      <c r="K1007" s="8"/>
    </row>
    <row r="1008">
      <c r="B1008" s="8"/>
      <c r="C1008" s="8"/>
      <c r="D1008" s="8"/>
      <c r="E1008" s="8"/>
      <c r="F1008" s="8"/>
      <c r="G1008" s="8"/>
      <c r="H1008" s="8"/>
      <c r="I1008" s="8"/>
      <c r="J1008" s="8"/>
      <c r="K1008" s="8"/>
    </row>
    <row r="1009">
      <c r="B1009" s="8"/>
      <c r="C1009" s="8"/>
      <c r="D1009" s="8"/>
      <c r="E1009" s="8"/>
      <c r="F1009" s="8"/>
      <c r="G1009" s="8"/>
      <c r="H1009" s="8"/>
      <c r="I1009" s="8"/>
      <c r="J1009" s="8"/>
      <c r="K1009" s="8"/>
    </row>
    <row r="1010">
      <c r="B1010" s="8"/>
      <c r="C1010" s="8"/>
      <c r="D1010" s="8"/>
      <c r="E1010" s="8"/>
      <c r="F1010" s="8"/>
      <c r="G1010" s="8"/>
      <c r="H1010" s="8"/>
      <c r="I1010" s="8"/>
      <c r="J1010" s="8"/>
      <c r="K1010" s="8"/>
    </row>
    <row r="1011">
      <c r="B1011" s="8"/>
      <c r="C1011" s="8"/>
      <c r="D1011" s="8"/>
      <c r="E1011" s="8"/>
      <c r="F1011" s="8"/>
      <c r="G1011" s="8"/>
      <c r="H1011" s="8"/>
      <c r="I1011" s="8"/>
      <c r="J1011" s="8"/>
      <c r="K1011" s="8"/>
    </row>
    <row r="1012">
      <c r="B1012" s="8"/>
      <c r="C1012" s="8"/>
      <c r="D1012" s="8"/>
      <c r="E1012" s="8"/>
      <c r="F1012" s="8"/>
      <c r="G1012" s="8"/>
      <c r="H1012" s="8"/>
      <c r="I1012" s="8"/>
      <c r="J1012" s="8"/>
      <c r="K1012" s="8"/>
    </row>
    <row r="1013">
      <c r="B1013" s="8"/>
      <c r="C1013" s="8"/>
      <c r="D1013" s="8"/>
      <c r="E1013" s="8"/>
      <c r="F1013" s="8"/>
      <c r="G1013" s="8"/>
      <c r="H1013" s="8"/>
      <c r="I1013" s="8"/>
      <c r="J1013" s="8"/>
      <c r="K1013" s="8"/>
    </row>
    <row r="1014">
      <c r="B1014" s="8"/>
      <c r="C1014" s="8"/>
      <c r="D1014" s="8"/>
      <c r="E1014" s="8"/>
      <c r="F1014" s="8"/>
      <c r="G1014" s="8"/>
      <c r="H1014" s="8"/>
      <c r="I1014" s="8"/>
      <c r="J1014" s="8"/>
      <c r="K1014" s="8"/>
    </row>
    <row r="1015">
      <c r="B1015" s="8"/>
      <c r="C1015" s="8"/>
      <c r="D1015" s="8"/>
      <c r="E1015" s="8"/>
      <c r="F1015" s="8"/>
      <c r="G1015" s="8"/>
      <c r="H1015" s="8"/>
      <c r="I1015" s="8"/>
      <c r="J1015" s="8"/>
      <c r="K1015" s="8"/>
    </row>
    <row r="1016">
      <c r="B1016" s="8"/>
      <c r="C1016" s="8"/>
      <c r="D1016" s="8"/>
      <c r="E1016" s="8"/>
      <c r="F1016" s="8"/>
      <c r="G1016" s="8"/>
      <c r="H1016" s="8"/>
      <c r="I1016" s="8"/>
      <c r="J1016" s="8"/>
      <c r="K1016" s="8"/>
    </row>
    <row r="1017">
      <c r="B1017" s="8"/>
      <c r="C1017" s="8"/>
      <c r="D1017" s="8"/>
      <c r="E1017" s="8"/>
      <c r="F1017" s="8"/>
      <c r="G1017" s="8"/>
      <c r="H1017" s="8"/>
      <c r="I1017" s="8"/>
      <c r="J1017" s="8"/>
      <c r="K1017" s="8"/>
    </row>
    <row r="1018">
      <c r="B1018" s="8"/>
      <c r="C1018" s="8"/>
      <c r="D1018" s="8"/>
      <c r="E1018" s="8"/>
      <c r="F1018" s="8"/>
      <c r="G1018" s="8"/>
      <c r="H1018" s="8"/>
      <c r="I1018" s="8"/>
      <c r="J1018" s="8"/>
      <c r="K1018" s="8"/>
    </row>
    <row r="1019">
      <c r="B1019" s="8"/>
      <c r="C1019" s="8"/>
      <c r="D1019" s="8"/>
      <c r="E1019" s="8"/>
      <c r="F1019" s="8"/>
      <c r="G1019" s="8"/>
      <c r="H1019" s="8"/>
      <c r="I1019" s="8"/>
      <c r="J1019" s="8"/>
      <c r="K1019" s="8"/>
    </row>
    <row r="1020">
      <c r="B1020" s="8"/>
      <c r="C1020" s="8"/>
      <c r="D1020" s="8"/>
      <c r="E1020" s="8"/>
      <c r="F1020" s="8"/>
      <c r="G1020" s="8"/>
      <c r="H1020" s="8"/>
      <c r="I1020" s="8"/>
      <c r="J1020" s="8"/>
      <c r="K1020" s="8"/>
    </row>
    <row r="1021">
      <c r="B1021" s="8"/>
      <c r="C1021" s="8"/>
      <c r="D1021" s="8"/>
      <c r="E1021" s="8"/>
      <c r="F1021" s="8"/>
      <c r="G1021" s="8"/>
      <c r="H1021" s="8"/>
      <c r="I1021" s="8"/>
      <c r="J1021" s="8"/>
      <c r="K1021" s="8"/>
    </row>
    <row r="1022">
      <c r="B1022" s="8"/>
      <c r="C1022" s="8"/>
      <c r="D1022" s="8"/>
      <c r="E1022" s="8"/>
      <c r="F1022" s="8"/>
      <c r="G1022" s="8"/>
      <c r="H1022" s="8"/>
      <c r="I1022" s="8"/>
      <c r="J1022" s="8"/>
      <c r="K1022" s="8"/>
    </row>
    <row r="1023">
      <c r="B1023" s="8"/>
      <c r="C1023" s="8"/>
      <c r="D1023" s="8"/>
      <c r="E1023" s="8"/>
      <c r="F1023" s="8"/>
      <c r="G1023" s="8"/>
      <c r="H1023" s="8"/>
      <c r="I1023" s="8"/>
      <c r="J1023" s="8"/>
      <c r="K1023" s="8"/>
    </row>
    <row r="1024">
      <c r="B1024" s="8"/>
      <c r="C1024" s="8"/>
      <c r="D1024" s="8"/>
      <c r="E1024" s="8"/>
      <c r="F1024" s="8"/>
      <c r="G1024" s="8"/>
      <c r="H1024" s="8"/>
      <c r="I1024" s="8"/>
      <c r="J1024" s="8"/>
      <c r="K1024" s="8"/>
    </row>
    <row r="1025">
      <c r="B1025" s="8"/>
      <c r="C1025" s="8"/>
      <c r="D1025" s="8"/>
      <c r="E1025" s="8"/>
      <c r="F1025" s="8"/>
      <c r="G1025" s="8"/>
      <c r="H1025" s="8"/>
      <c r="I1025" s="8"/>
      <c r="J1025" s="8"/>
      <c r="K1025" s="8"/>
    </row>
    <row r="1026">
      <c r="B1026" s="8"/>
      <c r="C1026" s="8"/>
      <c r="D1026" s="8"/>
      <c r="E1026" s="8"/>
      <c r="F1026" s="8"/>
      <c r="G1026" s="8"/>
      <c r="H1026" s="8"/>
      <c r="I1026" s="8"/>
      <c r="J1026" s="8"/>
      <c r="K1026" s="8"/>
    </row>
    <row r="1027">
      <c r="B1027" s="8"/>
      <c r="C1027" s="8"/>
      <c r="D1027" s="8"/>
      <c r="E1027" s="8"/>
      <c r="F1027" s="8"/>
      <c r="G1027" s="8"/>
      <c r="H1027" s="8"/>
      <c r="I1027" s="8"/>
      <c r="J1027" s="8"/>
      <c r="K1027" s="8"/>
    </row>
    <row r="1028">
      <c r="B1028" s="8"/>
      <c r="C1028" s="8"/>
      <c r="D1028" s="8"/>
      <c r="E1028" s="8"/>
      <c r="F1028" s="8"/>
      <c r="G1028" s="8"/>
      <c r="H1028" s="8"/>
      <c r="I1028" s="8"/>
      <c r="J1028" s="8"/>
      <c r="K1028" s="8"/>
    </row>
    <row r="1029">
      <c r="B1029" s="8"/>
      <c r="C1029" s="8"/>
      <c r="D1029" s="8"/>
      <c r="E1029" s="8"/>
      <c r="F1029" s="8"/>
      <c r="G1029" s="8"/>
      <c r="H1029" s="8"/>
      <c r="I1029" s="8"/>
      <c r="J1029" s="8"/>
      <c r="K1029" s="8"/>
    </row>
    <row r="1030">
      <c r="B1030" s="8"/>
      <c r="C1030" s="8"/>
      <c r="D1030" s="8"/>
      <c r="E1030" s="8"/>
      <c r="F1030" s="8"/>
      <c r="G1030" s="8"/>
      <c r="H1030" s="8"/>
      <c r="I1030" s="8"/>
      <c r="J1030" s="8"/>
      <c r="K1030" s="8"/>
    </row>
    <row r="1031">
      <c r="B1031" s="8"/>
      <c r="C1031" s="8"/>
      <c r="D1031" s="8"/>
      <c r="E1031" s="8"/>
      <c r="F1031" s="8"/>
      <c r="G1031" s="8"/>
      <c r="H1031" s="8"/>
      <c r="I1031" s="8"/>
      <c r="J1031" s="8"/>
      <c r="K1031" s="8"/>
    </row>
    <row r="1032">
      <c r="B1032" s="8"/>
      <c r="C1032" s="8"/>
      <c r="D1032" s="8"/>
      <c r="E1032" s="8"/>
      <c r="F1032" s="8"/>
      <c r="G1032" s="8"/>
      <c r="H1032" s="8"/>
      <c r="I1032" s="8"/>
      <c r="J1032" s="8"/>
      <c r="K1032" s="8"/>
    </row>
    <row r="1033">
      <c r="B1033" s="8"/>
      <c r="C1033" s="8"/>
      <c r="D1033" s="8"/>
      <c r="E1033" s="8"/>
      <c r="F1033" s="8"/>
      <c r="G1033" s="8"/>
      <c r="H1033" s="8"/>
      <c r="I1033" s="8"/>
      <c r="J1033" s="8"/>
      <c r="K1033" s="8"/>
    </row>
    <row r="1034">
      <c r="B1034" s="8"/>
      <c r="C1034" s="8"/>
      <c r="D1034" s="8"/>
      <c r="E1034" s="8"/>
      <c r="F1034" s="8"/>
      <c r="G1034" s="8"/>
      <c r="H1034" s="8"/>
      <c r="I1034" s="8"/>
      <c r="J1034" s="8"/>
      <c r="K1034" s="8"/>
    </row>
    <row r="1035">
      <c r="B1035" s="8"/>
      <c r="C1035" s="8"/>
      <c r="D1035" s="8"/>
      <c r="E1035" s="8"/>
      <c r="F1035" s="8"/>
      <c r="G1035" s="8"/>
      <c r="H1035" s="8"/>
      <c r="I1035" s="8"/>
      <c r="J1035" s="8"/>
      <c r="K1035" s="8"/>
    </row>
    <row r="1036">
      <c r="B1036" s="8"/>
      <c r="C1036" s="8"/>
      <c r="D1036" s="8"/>
      <c r="E1036" s="8"/>
      <c r="F1036" s="8"/>
      <c r="G1036" s="8"/>
      <c r="H1036" s="8"/>
      <c r="I1036" s="8"/>
      <c r="J1036" s="8"/>
      <c r="K1036" s="8"/>
    </row>
    <row r="1037">
      <c r="B1037" s="8"/>
      <c r="C1037" s="8"/>
      <c r="D1037" s="8"/>
      <c r="E1037" s="8"/>
      <c r="F1037" s="8"/>
      <c r="G1037" s="8"/>
      <c r="H1037" s="8"/>
      <c r="I1037" s="8"/>
      <c r="J1037" s="8"/>
      <c r="K1037" s="8"/>
    </row>
    <row r="1038">
      <c r="B1038" s="8"/>
      <c r="C1038" s="8"/>
      <c r="D1038" s="8"/>
      <c r="E1038" s="8"/>
      <c r="F1038" s="8"/>
      <c r="G1038" s="8"/>
      <c r="H1038" s="8"/>
      <c r="I1038" s="8"/>
      <c r="J1038" s="8"/>
      <c r="K1038" s="8"/>
    </row>
    <row r="1039">
      <c r="B1039" s="8"/>
      <c r="C1039" s="8"/>
      <c r="D1039" s="8"/>
      <c r="E1039" s="8"/>
      <c r="F1039" s="8"/>
      <c r="G1039" s="8"/>
      <c r="H1039" s="8"/>
      <c r="I1039" s="8"/>
      <c r="J1039" s="8"/>
      <c r="K1039" s="8"/>
    </row>
    <row r="1040">
      <c r="B1040" s="8"/>
      <c r="C1040" s="8"/>
      <c r="D1040" s="8"/>
      <c r="E1040" s="8"/>
      <c r="F1040" s="8"/>
      <c r="G1040" s="8"/>
      <c r="H1040" s="8"/>
      <c r="I1040" s="8"/>
      <c r="J1040" s="8"/>
      <c r="K1040" s="8"/>
    </row>
  </sheetData>
  <mergeCells count="1">
    <mergeCell ref="A1:K1"/>
  </mergeCells>
  <hyperlinks>
    <hyperlink r:id="rId4" ref="A16"/>
    <hyperlink r:id="rId5" ref="C257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6" t="s">
        <v>79</v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B34" s="29" t="s">
        <v>73</v>
      </c>
      <c r="K34" s="29" t="s">
        <v>74</v>
      </c>
    </row>
    <row r="39">
      <c r="B39" s="29" t="s">
        <v>75</v>
      </c>
    </row>
    <row r="51">
      <c r="B51" s="6" t="s">
        <v>76</v>
      </c>
    </row>
    <row r="218">
      <c r="B218" s="6" t="s">
        <v>77</v>
      </c>
    </row>
    <row r="220">
      <c r="B220" s="31" t="s">
        <v>78</v>
      </c>
    </row>
  </sheetData>
  <hyperlinks>
    <hyperlink r:id="rId1" ref="B22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/>
      <c r="B1" s="29" t="s">
        <v>80</v>
      </c>
      <c r="C1" s="29" t="s">
        <v>81</v>
      </c>
      <c r="D1" s="29" t="s">
        <v>82</v>
      </c>
      <c r="E1" s="29" t="s">
        <v>83</v>
      </c>
      <c r="F1" s="29" t="s">
        <v>84</v>
      </c>
      <c r="G1" s="32"/>
      <c r="H1" s="29" t="s">
        <v>85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9" t="s">
        <v>86</v>
      </c>
      <c r="B2" s="6">
        <v>12.0</v>
      </c>
      <c r="C2" s="6">
        <v>12.0</v>
      </c>
      <c r="D2" s="6">
        <v>12.0</v>
      </c>
      <c r="E2" s="6">
        <v>24.0</v>
      </c>
      <c r="F2" s="6">
        <v>24.0</v>
      </c>
      <c r="H2" s="33">
        <f t="shared" ref="H2:H3" si="1">SUM(B2:G2)</f>
        <v>84</v>
      </c>
    </row>
    <row r="3">
      <c r="A3" s="29" t="s">
        <v>87</v>
      </c>
      <c r="B3" s="6">
        <v>12.0</v>
      </c>
      <c r="C3" s="6">
        <v>12.0</v>
      </c>
      <c r="D3" s="6">
        <v>12.0</v>
      </c>
      <c r="H3" s="33">
        <f t="shared" si="1"/>
        <v>36</v>
      </c>
    </row>
    <row r="5">
      <c r="H5" s="33">
        <f>SUM(H2:H4)</f>
        <v>120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88</v>
      </c>
      <c r="C1" s="6" t="s">
        <v>89</v>
      </c>
    </row>
    <row r="2">
      <c r="B2" s="6">
        <v>1.0</v>
      </c>
      <c r="C2" s="6">
        <v>1.0</v>
      </c>
    </row>
    <row r="3">
      <c r="B3" s="6">
        <v>2.0</v>
      </c>
      <c r="C3" s="6">
        <v>2.0</v>
      </c>
    </row>
    <row r="22">
      <c r="A22" s="6" t="s">
        <v>90</v>
      </c>
      <c r="B22" s="33">
        <f t="shared" ref="B22:C22" si="1">SUM(B2:B12)</f>
        <v>3</v>
      </c>
      <c r="C22" s="33">
        <f t="shared" si="1"/>
        <v>3</v>
      </c>
    </row>
  </sheetData>
  <drawing r:id="rId1"/>
</worksheet>
</file>